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vXIXbw4GOAciNJ/jR+59xZsJCv9+7jejxwAraVNuxQ="/>
    </ext>
  </extLst>
</workbook>
</file>

<file path=xl/sharedStrings.xml><?xml version="1.0" encoding="utf-8"?>
<sst xmlns="http://schemas.openxmlformats.org/spreadsheetml/2006/main" count="81" uniqueCount="66">
  <si>
    <t>SECTION 1 — PROJECT DETAILS</t>
  </si>
  <si>
    <t>Item</t>
  </si>
  <si>
    <t>Rooming House</t>
  </si>
  <si>
    <t>Property Address</t>
  </si>
  <si>
    <t>61 Bellbird Avenue, Norlane, Vic 3214</t>
  </si>
  <si>
    <t>Number of Rooms</t>
  </si>
  <si>
    <t>Room Per Room</t>
  </si>
  <si>
    <t>Room Rent (Weekly)</t>
  </si>
  <si>
    <t>SECTION 2 — COSTS</t>
  </si>
  <si>
    <t>A. Land Costs</t>
  </si>
  <si>
    <t>Amount ($)</t>
  </si>
  <si>
    <t>Land Purchase Price</t>
  </si>
  <si>
    <t>Stamp Duty</t>
  </si>
  <si>
    <t>Land Deposit</t>
  </si>
  <si>
    <t>Valuation fees</t>
  </si>
  <si>
    <t>Conveyancing Fees</t>
  </si>
  <si>
    <t>Misc Acquisition Costs</t>
  </si>
  <si>
    <t>Total Acquisition Costs</t>
  </si>
  <si>
    <t>B. Construction Costs</t>
  </si>
  <si>
    <t>Base Build Contract</t>
  </si>
  <si>
    <t>Furniture Package</t>
  </si>
  <si>
    <t>included in build price can be credited at end of build so you're not out of pocket</t>
  </si>
  <si>
    <t>Landscaping</t>
  </si>
  <si>
    <t>Included</t>
  </si>
  <si>
    <t>Utility Connections</t>
  </si>
  <si>
    <t>$5k allowance included</t>
  </si>
  <si>
    <t>Total Construction Costs</t>
  </si>
  <si>
    <t>C. Finance Costs</t>
  </si>
  <si>
    <t>Construction costs</t>
  </si>
  <si>
    <t>plus bank fee 2%</t>
  </si>
  <si>
    <t>Deposit Amount</t>
  </si>
  <si>
    <t>less land deposit rollover</t>
  </si>
  <si>
    <t>plus stamp</t>
  </si>
  <si>
    <t>plus valuation</t>
  </si>
  <si>
    <t>plus conveyancer fees</t>
  </si>
  <si>
    <t>Total Deposit</t>
  </si>
  <si>
    <t>not inc. build interest costs</t>
  </si>
  <si>
    <t>SECTION 3 — INCOME</t>
  </si>
  <si>
    <t>A. Rental Income</t>
  </si>
  <si>
    <t>Amount</t>
  </si>
  <si>
    <t>Weekly Rent per Room</t>
  </si>
  <si>
    <t>Annual Rent</t>
  </si>
  <si>
    <t>Net Annual Rent</t>
  </si>
  <si>
    <t>SECTION 4 — EXPENSES</t>
  </si>
  <si>
    <t>Property Management</t>
  </si>
  <si>
    <t>Council Rates</t>
  </si>
  <si>
    <t>Power</t>
  </si>
  <si>
    <t>Water Rates</t>
  </si>
  <si>
    <t>Internet</t>
  </si>
  <si>
    <t>Insurance</t>
  </si>
  <si>
    <t>Waste Management</t>
  </si>
  <si>
    <t>Maintenance Allowance</t>
  </si>
  <si>
    <t>Total Operating Expenses</t>
  </si>
  <si>
    <t>SECTION 5 — NET RESULTS</t>
  </si>
  <si>
    <t>Net Annual Rent (from income)</t>
  </si>
  <si>
    <t>Operating Expenses</t>
  </si>
  <si>
    <t>Net Operating Income (NOI)</t>
  </si>
  <si>
    <t>SECTION 6 — LOAN ASSESSMENT</t>
  </si>
  <si>
    <t>Total Loan Amount</t>
  </si>
  <si>
    <t>Interest Rate (%)</t>
  </si>
  <si>
    <t>Monthly Repayment</t>
  </si>
  <si>
    <t>Annual Repayments</t>
  </si>
  <si>
    <t>Cashflow (Profit After Costs)</t>
  </si>
  <si>
    <t>SECTION 7 — Equity</t>
  </si>
  <si>
    <t>Valuation on Completion</t>
  </si>
  <si>
    <t>Property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</si>
</sst>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3D3B4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6.0"/>
    <col customWidth="1" min="3" max="3" width="16.25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4</v>
      </c>
    </row>
    <row r="4" ht="15.75" customHeight="1">
      <c r="A4" s="2" t="s">
        <v>5</v>
      </c>
      <c r="B4" s="2">
        <v>9.0</v>
      </c>
    </row>
    <row r="5" ht="15.75" customHeight="1">
      <c r="A5" s="2" t="s">
        <v>6</v>
      </c>
      <c r="B5" s="4">
        <v>350.0</v>
      </c>
    </row>
    <row r="6" ht="15.75" customHeight="1">
      <c r="A6" s="2" t="s">
        <v>7</v>
      </c>
      <c r="B6" s="4">
        <f>B5*9</f>
        <v>3150</v>
      </c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</v>
      </c>
      <c r="B10" s="2" t="s">
        <v>10</v>
      </c>
    </row>
    <row r="11" ht="15.75" customHeight="1">
      <c r="A11" s="2" t="s">
        <v>11</v>
      </c>
      <c r="B11" s="5">
        <v>350000.0</v>
      </c>
    </row>
    <row r="12" ht="15.75" customHeight="1">
      <c r="A12" s="2" t="s">
        <v>12</v>
      </c>
      <c r="B12" s="5">
        <v>16070.0</v>
      </c>
    </row>
    <row r="13" ht="15.75" customHeight="1">
      <c r="A13" s="2" t="s">
        <v>13</v>
      </c>
      <c r="B13" s="6">
        <f>SUM(B11:B12)*0.3</f>
        <v>109821</v>
      </c>
    </row>
    <row r="14" ht="15.75" customHeight="1">
      <c r="A14" s="7" t="s">
        <v>14</v>
      </c>
      <c r="B14" s="6">
        <v>5000.0</v>
      </c>
    </row>
    <row r="15" ht="15.75" customHeight="1">
      <c r="A15" s="2" t="s">
        <v>15</v>
      </c>
      <c r="B15" s="6">
        <v>3000.0</v>
      </c>
    </row>
    <row r="16" ht="15.75" customHeight="1">
      <c r="A16" s="2" t="s">
        <v>16</v>
      </c>
      <c r="B16" s="6">
        <v>0.0</v>
      </c>
    </row>
    <row r="17" ht="15.75" customHeight="1">
      <c r="A17" s="1" t="s">
        <v>17</v>
      </c>
      <c r="B17" s="8">
        <f>SUM(B11+B12+B14+B15)</f>
        <v>374070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/>
    </row>
    <row r="19" ht="15.75" customHeight="1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1</v>
      </c>
      <c r="B20" s="2" t="s">
        <v>10</v>
      </c>
    </row>
    <row r="21" ht="15.75" customHeight="1">
      <c r="A21" s="2" t="s">
        <v>19</v>
      </c>
      <c r="B21" s="6">
        <v>770000.0</v>
      </c>
    </row>
    <row r="22" ht="15.75" customHeight="1">
      <c r="A22" s="2" t="s">
        <v>20</v>
      </c>
      <c r="B22" s="6">
        <v>30000.0</v>
      </c>
      <c r="C22" s="2" t="s">
        <v>21</v>
      </c>
    </row>
    <row r="23" ht="15.75" customHeight="1">
      <c r="A23" s="2" t="s">
        <v>22</v>
      </c>
      <c r="B23" s="6">
        <v>0.0</v>
      </c>
      <c r="C23" s="2" t="s">
        <v>23</v>
      </c>
    </row>
    <row r="24" ht="15.75" customHeight="1">
      <c r="A24" s="2" t="s">
        <v>24</v>
      </c>
      <c r="B24" s="6">
        <v>0.0</v>
      </c>
      <c r="C24" s="2" t="s">
        <v>25</v>
      </c>
    </row>
    <row r="25" ht="15.75" customHeight="1">
      <c r="A25" s="1" t="s">
        <v>26</v>
      </c>
      <c r="B25" s="8">
        <f>SUM(B21:B24)</f>
        <v>800000</v>
      </c>
    </row>
    <row r="26" ht="15.75" customHeight="1">
      <c r="A26" s="2"/>
    </row>
    <row r="27" ht="15.75" customHeight="1">
      <c r="A27" s="1" t="s">
        <v>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1</v>
      </c>
      <c r="B28" s="2" t="s">
        <v>10</v>
      </c>
    </row>
    <row r="29" ht="15.75" customHeight="1">
      <c r="A29" s="7" t="s">
        <v>28</v>
      </c>
      <c r="B29" s="6">
        <f>SUM(B11+B25)</f>
        <v>1150000</v>
      </c>
    </row>
    <row r="30" ht="15.75" customHeight="1">
      <c r="A30" s="2" t="s">
        <v>29</v>
      </c>
      <c r="B30" s="6">
        <f>B29*1.02</f>
        <v>1173000</v>
      </c>
    </row>
    <row r="31" ht="15.75" customHeight="1">
      <c r="A31" s="2" t="s">
        <v>30</v>
      </c>
      <c r="B31" s="6">
        <f>B30*0.2</f>
        <v>234600</v>
      </c>
    </row>
    <row r="32" ht="15.75" customHeight="1">
      <c r="A32" s="2" t="s">
        <v>31</v>
      </c>
      <c r="B32" s="6">
        <f>B31-B13</f>
        <v>124779</v>
      </c>
    </row>
    <row r="33" ht="15.75" customHeight="1">
      <c r="A33" s="2" t="s">
        <v>32</v>
      </c>
      <c r="B33" s="6">
        <v>9500.0</v>
      </c>
    </row>
    <row r="34" ht="15.75" customHeight="1">
      <c r="A34" s="2" t="s">
        <v>33</v>
      </c>
      <c r="B34" s="6">
        <v>4400.0</v>
      </c>
    </row>
    <row r="35" ht="15.75" customHeight="1">
      <c r="A35" s="2" t="s">
        <v>34</v>
      </c>
      <c r="B35" s="6">
        <v>3000.0</v>
      </c>
    </row>
    <row r="36" ht="15.75" customHeight="1">
      <c r="A36" s="1" t="s">
        <v>35</v>
      </c>
      <c r="B36" s="8">
        <f>SUM(B31+B33+B34+B35)</f>
        <v>251500</v>
      </c>
      <c r="C36" s="2" t="s">
        <v>36</v>
      </c>
    </row>
    <row r="37" ht="15.75" customHeight="1">
      <c r="A37" s="2"/>
      <c r="B37" s="6"/>
    </row>
    <row r="38" ht="15.75" customHeight="1">
      <c r="A38" s="1" t="s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 t="s">
        <v>1</v>
      </c>
      <c r="B40" s="2" t="s">
        <v>39</v>
      </c>
    </row>
    <row r="41" ht="15.75" customHeight="1">
      <c r="A41" s="2" t="s">
        <v>40</v>
      </c>
      <c r="B41" s="6">
        <v>350.0</v>
      </c>
    </row>
    <row r="42" ht="15.75" customHeight="1">
      <c r="A42" s="2" t="s">
        <v>5</v>
      </c>
      <c r="B42" s="2">
        <v>9.0</v>
      </c>
    </row>
    <row r="43" ht="15.75" customHeight="1">
      <c r="A43" s="2" t="s">
        <v>41</v>
      </c>
      <c r="B43" s="6">
        <f>(B41*B42)*52</f>
        <v>163800</v>
      </c>
    </row>
    <row r="44" ht="15.75" customHeight="1">
      <c r="A44" s="1" t="s">
        <v>42</v>
      </c>
      <c r="B44" s="8">
        <f>B43</f>
        <v>163800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43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1</v>
      </c>
      <c r="B47" s="2" t="s">
        <v>10</v>
      </c>
    </row>
    <row r="48" ht="15.75" customHeight="1">
      <c r="A48" s="2" t="s">
        <v>44</v>
      </c>
      <c r="B48" s="6">
        <f>B44*0.1</f>
        <v>16380</v>
      </c>
    </row>
    <row r="49" ht="15.75" customHeight="1">
      <c r="A49" s="2" t="s">
        <v>45</v>
      </c>
      <c r="B49" s="6">
        <v>2500.0</v>
      </c>
    </row>
    <row r="50" ht="15.75" customHeight="1">
      <c r="A50" s="2" t="s">
        <v>46</v>
      </c>
      <c r="B50" s="6">
        <v>4000.0</v>
      </c>
    </row>
    <row r="51" ht="15.75" customHeight="1">
      <c r="A51" s="2" t="s">
        <v>47</v>
      </c>
      <c r="B51" s="6">
        <v>1000.0</v>
      </c>
    </row>
    <row r="52" ht="15.75" customHeight="1">
      <c r="A52" s="2" t="s">
        <v>48</v>
      </c>
      <c r="B52" s="6">
        <v>1440.0</v>
      </c>
    </row>
    <row r="53" ht="15.75" customHeight="1">
      <c r="A53" s="2" t="s">
        <v>49</v>
      </c>
      <c r="B53" s="6">
        <v>5000.0</v>
      </c>
    </row>
    <row r="54" ht="15.75" customHeight="1">
      <c r="A54" s="2" t="s">
        <v>50</v>
      </c>
      <c r="B54" s="6">
        <v>1700.0</v>
      </c>
    </row>
    <row r="55" ht="15.75" customHeight="1">
      <c r="A55" s="2" t="s">
        <v>51</v>
      </c>
      <c r="B55" s="6">
        <v>2000.0</v>
      </c>
    </row>
    <row r="56" ht="15.75" customHeight="1">
      <c r="A56" s="1" t="s">
        <v>52</v>
      </c>
      <c r="B56" s="8">
        <f>SUM(B48:B55)</f>
        <v>34020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/>
    <row r="59" ht="15.75" customHeight="1">
      <c r="A59" s="1" t="s">
        <v>53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" t="s">
        <v>1</v>
      </c>
      <c r="B60" s="2" t="s">
        <v>10</v>
      </c>
    </row>
    <row r="61" ht="15.75" customHeight="1">
      <c r="A61" s="2" t="s">
        <v>54</v>
      </c>
      <c r="B61" s="6">
        <f>B44</f>
        <v>163800</v>
      </c>
    </row>
    <row r="62" ht="15.75" customHeight="1">
      <c r="A62" s="2" t="s">
        <v>55</v>
      </c>
      <c r="B62" s="6">
        <f>B56</f>
        <v>34020</v>
      </c>
    </row>
    <row r="63" ht="15.75" customHeight="1">
      <c r="A63" s="1" t="s">
        <v>56</v>
      </c>
      <c r="B63" s="8">
        <f>B44-B56</f>
        <v>129780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/>
    <row r="65" ht="15.75" customHeight="1">
      <c r="A65" s="1" t="s">
        <v>57</v>
      </c>
      <c r="B65" s="1"/>
    </row>
    <row r="66" ht="15.75" customHeight="1">
      <c r="A66" s="2" t="s">
        <v>1</v>
      </c>
      <c r="B66" s="2" t="s">
        <v>39</v>
      </c>
    </row>
    <row r="67" ht="15.75" customHeight="1">
      <c r="A67" s="2" t="s">
        <v>58</v>
      </c>
      <c r="B67" s="6">
        <f>B30*0.8</f>
        <v>938400</v>
      </c>
    </row>
    <row r="68" ht="15.75" customHeight="1">
      <c r="A68" s="2" t="s">
        <v>59</v>
      </c>
      <c r="B68" s="9">
        <v>0.071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" t="s">
        <v>60</v>
      </c>
      <c r="B69" s="6">
        <f>B70/12</f>
        <v>5552.2</v>
      </c>
    </row>
    <row r="70" ht="15.75" customHeight="1">
      <c r="A70" s="2" t="s">
        <v>61</v>
      </c>
      <c r="B70" s="6">
        <f>B67*B68</f>
        <v>66626.4</v>
      </c>
    </row>
    <row r="71" ht="15.75" customHeight="1">
      <c r="A71" s="1" t="s">
        <v>62</v>
      </c>
      <c r="B71" s="8">
        <f>B63-B70</f>
        <v>63153.6</v>
      </c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/>
    <row r="74" ht="15.75" customHeight="1">
      <c r="A74" s="1" t="s">
        <v>63</v>
      </c>
      <c r="B74" s="1"/>
    </row>
    <row r="75" ht="15.75" customHeight="1">
      <c r="A75" s="2" t="s">
        <v>1</v>
      </c>
      <c r="B75" s="2" t="s">
        <v>39</v>
      </c>
    </row>
    <row r="76" ht="15.75" customHeight="1">
      <c r="A76" s="2" t="s">
        <v>64</v>
      </c>
      <c r="B76" s="6">
        <v>1900000.0</v>
      </c>
    </row>
    <row r="77" ht="15.75" customHeight="1">
      <c r="A77" s="2" t="s">
        <v>65</v>
      </c>
      <c r="B77" s="6">
        <f>B76-B67</f>
        <v>961600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